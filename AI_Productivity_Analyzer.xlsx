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lar\Downloads\"/>
    </mc:Choice>
  </mc:AlternateContent>
  <xr:revisionPtr revIDLastSave="0" documentId="13_ncr:1_{9CB3AC6E-0E1D-4E1B-BA66-4E4BF0C81F6C}" xr6:coauthVersionLast="47" xr6:coauthVersionMax="47" xr10:uidLastSave="{00000000-0000-0000-0000-000000000000}"/>
  <bookViews>
    <workbookView xWindow="-96" yWindow="0" windowWidth="15084" windowHeight="12336" firstSheet="7" activeTab="7" xr2:uid="{26234A3A-721B-4C0A-BC6B-131FA75232CC}"/>
  </bookViews>
  <sheets>
    <sheet name="Tasks" sheetId="1" r:id="rId1"/>
    <sheet name="Productivity" sheetId="2" r:id="rId2"/>
    <sheet name="Prompts" sheetId="3" r:id="rId3"/>
    <sheet name="Quality" sheetId="4" r:id="rId4"/>
    <sheet name="Lookup" sheetId="5" r:id="rId5"/>
    <sheet name="Reports" sheetId="9" r:id="rId6"/>
    <sheet name="Analyst Report" sheetId="11" r:id="rId7"/>
    <sheet name="ROI Summary" sheetId="12" r:id="rId8"/>
    <sheet name="KPIs" sheetId="6" r:id="rId9"/>
  </sheets>
  <calcPr calcId="191029"/>
  <pivotCaches>
    <pivotCache cacheId="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6" l="1"/>
  <c r="C5" i="6"/>
  <c r="C4" i="6"/>
  <c r="C3" i="6"/>
  <c r="C2" i="6"/>
  <c r="B3" i="6"/>
  <c r="B2" i="6"/>
  <c r="E6" i="2"/>
  <c r="E5" i="2"/>
  <c r="E4" i="2"/>
  <c r="E3" i="2"/>
  <c r="E2" i="2"/>
</calcChain>
</file>

<file path=xl/sharedStrings.xml><?xml version="1.0" encoding="utf-8"?>
<sst xmlns="http://schemas.openxmlformats.org/spreadsheetml/2006/main" count="197" uniqueCount="97">
  <si>
    <t>Date</t>
  </si>
  <si>
    <t>Role</t>
  </si>
  <si>
    <t>Task_Type</t>
  </si>
  <si>
    <t>Task_ID</t>
  </si>
  <si>
    <t>Complexity</t>
  </si>
  <si>
    <t>Team</t>
  </si>
  <si>
    <t>AI_Used</t>
  </si>
  <si>
    <t>T001</t>
  </si>
  <si>
    <t>T002</t>
  </si>
  <si>
    <t>T003</t>
  </si>
  <si>
    <t>T004</t>
  </si>
  <si>
    <t>T005</t>
  </si>
  <si>
    <t>Developer</t>
  </si>
  <si>
    <t>Analyst</t>
  </si>
  <si>
    <t>Bug Fix</t>
  </si>
  <si>
    <t>SQL Query</t>
  </si>
  <si>
    <t>Code Generation</t>
  </si>
  <si>
    <t>Report writing</t>
  </si>
  <si>
    <t>Code Review</t>
  </si>
  <si>
    <t>Medium</t>
  </si>
  <si>
    <t>Low</t>
  </si>
  <si>
    <t>High</t>
  </si>
  <si>
    <t>Backend</t>
  </si>
  <si>
    <t>Data</t>
  </si>
  <si>
    <t>Frontend</t>
  </si>
  <si>
    <t>BI</t>
  </si>
  <si>
    <t>Yes</t>
  </si>
  <si>
    <t>No</t>
  </si>
  <si>
    <t>Productivity_ID</t>
  </si>
  <si>
    <t>Time_With_AI</t>
  </si>
  <si>
    <t>Time_Without_AI</t>
  </si>
  <si>
    <t>Time_Saved_Mins</t>
  </si>
  <si>
    <t>Errors_With_AI</t>
  </si>
  <si>
    <t>Errors_Without_AI</t>
  </si>
  <si>
    <t>Iterations_Used</t>
  </si>
  <si>
    <t>P001</t>
  </si>
  <si>
    <t>P002</t>
  </si>
  <si>
    <t>P003</t>
  </si>
  <si>
    <t>P004</t>
  </si>
  <si>
    <t>P005</t>
  </si>
  <si>
    <t>Prompt_ID</t>
  </si>
  <si>
    <t>Prompt_Style</t>
  </si>
  <si>
    <t>AI_Model</t>
  </si>
  <si>
    <t>Prompt_Quality_Score</t>
  </si>
  <si>
    <t>Notes</t>
  </si>
  <si>
    <t>PR001</t>
  </si>
  <si>
    <t>PR002</t>
  </si>
  <si>
    <t>PR003</t>
  </si>
  <si>
    <t>PR004</t>
  </si>
  <si>
    <t>PR005</t>
  </si>
  <si>
    <t>Chain-of-thought</t>
  </si>
  <si>
    <t>Zero-shot</t>
  </si>
  <si>
    <t>Role-based</t>
  </si>
  <si>
    <t>Few-shot</t>
  </si>
  <si>
    <t>Claude</t>
  </si>
  <si>
    <t>ChatGPT</t>
  </si>
  <si>
    <t>Copilot</t>
  </si>
  <si>
    <t>Gemini</t>
  </si>
  <si>
    <t>Good result, 2Iterations</t>
  </si>
  <si>
    <t>Needed clarification</t>
  </si>
  <si>
    <t>Perfect first attempt</t>
  </si>
  <si>
    <t>Minor edits needed</t>
  </si>
  <si>
    <t>Multiple retries needed</t>
  </si>
  <si>
    <t>Report Writing</t>
  </si>
  <si>
    <t>Data Insight</t>
  </si>
  <si>
    <t>Quality_ID</t>
  </si>
  <si>
    <t>Accuracy_Score</t>
  </si>
  <si>
    <t>Rework_Needed</t>
  </si>
  <si>
    <t>Reviewer_Rating</t>
  </si>
  <si>
    <t>Output_Status</t>
  </si>
  <si>
    <t>Q001</t>
  </si>
  <si>
    <t>Q002</t>
  </si>
  <si>
    <t>Q003</t>
  </si>
  <si>
    <t>Q004</t>
  </si>
  <si>
    <t>Q005</t>
  </si>
  <si>
    <t>Accepted</t>
  </si>
  <si>
    <t>Minor Edits</t>
  </si>
  <si>
    <t>Time_Saved_Pct</t>
  </si>
  <si>
    <t>Quality_Delta</t>
  </si>
  <si>
    <t>AIROI_Flag</t>
  </si>
  <si>
    <t>Prompt_Score</t>
  </si>
  <si>
    <t>Row Labels</t>
  </si>
  <si>
    <t>Grand Total</t>
  </si>
  <si>
    <t>Count of AIROI_Flag</t>
  </si>
  <si>
    <t>Average of Time_Saved_Pct</t>
  </si>
  <si>
    <t>Average of Prompt_Score</t>
  </si>
  <si>
    <t>Developer Productivity — AI Impact Report</t>
  </si>
  <si>
    <t>Analyst Productivity — AI Impact Report</t>
  </si>
  <si>
    <t>done</t>
  </si>
  <si>
    <t>Average of Quality_Delta</t>
  </si>
  <si>
    <t>Combined AI ROI Summary - Prompt Engineering Productivity Analyzer</t>
  </si>
  <si>
    <t>3 out of 5 (60%)</t>
  </si>
  <si>
    <t>Code Generation - 64%</t>
  </si>
  <si>
    <t>Total Tasks Analyzed</t>
  </si>
  <si>
    <t>Tasks with Positive AI ROI</t>
  </si>
  <si>
    <t>Highest Time Saving</t>
  </si>
  <si>
    <t>Average Time Saved 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</si>
</sst>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 applyFon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9" fontId="0" fillId="0" borderId="0" xfId="0" applyNumberFormat="1"/>
    <xf numFmtId="0" fontId="0" fillId="0" borderId="0" xfId="0" applyAlignment="1">
      <alignment horizontal="left" indent="1"/>
    </xf>
    <xf numFmtId="0" fontId="3" fillId="3" borderId="0" xfId="0" applyFont="1" applyFill="1"/>
    <xf numFmtId="0" fontId="0" fillId="3" borderId="0" xfId="0" applyFill="1"/>
    <xf numFmtId="0" fontId="1" fillId="0" borderId="1" xfId="0" applyFont="1" applyBorder="1"/>
    <xf numFmtId="0" fontId="0" fillId="0" borderId="1" xfId="0" applyFont="1" applyBorder="1"/>
    <xf numFmtId="9" fontId="0" fillId="0" borderId="1" xfId="0" applyNumberFormat="1" applyFont="1" applyBorder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[AI_Productivity_Analyzer.xlsx]Reports!PivotTable1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Reports!$B$3</c:f>
              <c:strCache>
                <c:ptCount val="1"/>
                <c:pt idx="0">
                  <c:v>Average of Time_Saved_Pct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Reports!$A$4:$A$7</c:f>
              <c:strCache>
                <c:ptCount val="3"/>
                <c:pt idx="0">
                  <c:v>Bug Fix</c:v>
                </c:pt>
                <c:pt idx="1">
                  <c:v>Code Generation</c:v>
                </c:pt>
                <c:pt idx="2">
                  <c:v>Code Review</c:v>
                </c:pt>
              </c:strCache>
            </c:strRef>
          </c:cat>
          <c:val>
            <c:numRef>
              <c:f>Reports!$B$4:$B$7</c:f>
              <c:numCache>
                <c:formatCode>0%</c:formatCode>
                <c:ptCount val="3"/>
                <c:pt idx="0">
                  <c:v>0.6</c:v>
                </c:pt>
                <c:pt idx="1">
                  <c:v>0.64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8-429A-AFD2-BDFF5D70D60D}"/>
            </c:ext>
          </c:extLst>
        </c:ser>
        <c:ser>
          <c:idx val="1"/>
          <c:order val="1"/>
          <c:tx>
            <c:strRef>
              <c:f>Reports!$C$3</c:f>
              <c:strCache>
                <c:ptCount val="1"/>
                <c:pt idx="0">
                  <c:v>Average of Prompt_Score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Reports!$A$4:$A$7</c:f>
              <c:strCache>
                <c:ptCount val="3"/>
                <c:pt idx="0">
                  <c:v>Bug Fix</c:v>
                </c:pt>
                <c:pt idx="1">
                  <c:v>Code Generation</c:v>
                </c:pt>
                <c:pt idx="2">
                  <c:v>Code Review</c:v>
                </c:pt>
              </c:strCache>
            </c:strRef>
          </c:cat>
          <c:val>
            <c:numRef>
              <c:f>Reports!$C$4:$C$7</c:f>
              <c:numCache>
                <c:formatCode>0.0</c:formatCode>
                <c:ptCount val="3"/>
                <c:pt idx="0">
                  <c:v>4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28-429A-AFD2-BDFF5D70D60D}"/>
            </c:ext>
          </c:extLst>
        </c:ser>
        <c:ser>
          <c:idx val="2"/>
          <c:order val="2"/>
          <c:tx>
            <c:strRef>
              <c:f>Reports!$D$3</c:f>
              <c:strCache>
                <c:ptCount val="1"/>
                <c:pt idx="0">
                  <c:v>Count of AIROI_Flag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Reports!$A$4:$A$7</c:f>
              <c:strCache>
                <c:ptCount val="3"/>
                <c:pt idx="0">
                  <c:v>Bug Fix</c:v>
                </c:pt>
                <c:pt idx="1">
                  <c:v>Code Generation</c:v>
                </c:pt>
                <c:pt idx="2">
                  <c:v>Code Review</c:v>
                </c:pt>
              </c:strCache>
            </c:strRef>
          </c:cat>
          <c:val>
            <c:numRef>
              <c:f>Reports!$D$4:$D$7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28-429A-AFD2-BDFF5D70D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7503599"/>
        <c:axId val="1677502639"/>
      </c:barChart>
      <c:catAx>
        <c:axId val="167750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502639"/>
        <c:crosses val="autoZero"/>
        <c:auto val="1"/>
        <c:lblAlgn val="ctr"/>
        <c:lblOffset val="100"/>
        <c:noMultiLvlLbl val="0"/>
      </c:catAx>
      <c:valAx>
        <c:axId val="16775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50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[AI_Productivity_Analyzer.xlsx]Analyst Report!PivotTable3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'Analyst Report'!$B$3</c:f>
              <c:strCache>
                <c:ptCount val="1"/>
                <c:pt idx="0">
                  <c:v>Average of Time_Saved_Pct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'Analyst Report'!$A$4:$A$6</c:f>
              <c:strCache>
                <c:ptCount val="2"/>
                <c:pt idx="0">
                  <c:v>Report writing</c:v>
                </c:pt>
                <c:pt idx="1">
                  <c:v>SQL Query</c:v>
                </c:pt>
              </c:strCache>
            </c:strRef>
          </c:cat>
          <c:val>
            <c:numRef>
              <c:f>'Analyst Report'!$B$4:$B$6</c:f>
              <c:numCache>
                <c:formatCode>0%</c:formatCode>
                <c:ptCount val="2"/>
                <c:pt idx="0">
                  <c:v>0.43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A9-4A71-860B-3BDAEE773C7B}"/>
            </c:ext>
          </c:extLst>
        </c:ser>
        <c:ser>
          <c:idx val="1"/>
          <c:order val="1"/>
          <c:tx>
            <c:strRef>
              <c:f>'Analyst Report'!$C$3</c:f>
              <c:strCache>
                <c:ptCount val="1"/>
                <c:pt idx="0">
                  <c:v>Average of Prompt_Score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'Analyst Report'!$A$4:$A$6</c:f>
              <c:strCache>
                <c:ptCount val="2"/>
                <c:pt idx="0">
                  <c:v>Report writing</c:v>
                </c:pt>
                <c:pt idx="1">
                  <c:v>SQL Query</c:v>
                </c:pt>
              </c:strCache>
            </c:strRef>
          </c:cat>
          <c:val>
            <c:numRef>
              <c:f>'Analyst Report'!$C$4:$C$6</c:f>
              <c:numCache>
                <c:formatCode>General</c:formatCode>
                <c:ptCount val="2"/>
                <c:pt idx="0">
                  <c:v>4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A9-4A71-860B-3BDAEE773C7B}"/>
            </c:ext>
          </c:extLst>
        </c:ser>
        <c:ser>
          <c:idx val="2"/>
          <c:order val="2"/>
          <c:tx>
            <c:strRef>
              <c:f>'Analyst Report'!$D$3</c:f>
              <c:strCache>
                <c:ptCount val="1"/>
                <c:pt idx="0">
                  <c:v>Count of AIROI_Flag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'Analyst Report'!$A$4:$A$6</c:f>
              <c:strCache>
                <c:ptCount val="2"/>
                <c:pt idx="0">
                  <c:v>Report writing</c:v>
                </c:pt>
                <c:pt idx="1">
                  <c:v>SQL Query</c:v>
                </c:pt>
              </c:strCache>
            </c:strRef>
          </c:cat>
          <c:val>
            <c:numRef>
              <c:f>'Analyst Report'!$D$4:$D$6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A9-4A71-860B-3BDAEE773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80815"/>
        <c:axId val="43278895"/>
      </c:barChart>
      <c:catAx>
        <c:axId val="4328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78895"/>
        <c:crosses val="autoZero"/>
        <c:auto val="1"/>
        <c:lblAlgn val="ctr"/>
        <c:lblOffset val="100"/>
        <c:noMultiLvlLbl val="0"/>
      </c:catAx>
      <c:valAx>
        <c:axId val="4327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8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[AI_Productivity_Analyzer.xlsx]ROI Summary!PivotTable4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'ROI Summary'!$B$3</c:f>
              <c:strCache>
                <c:ptCount val="1"/>
                <c:pt idx="0">
                  <c:v>Average of Time_Saved_Pct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'ROI Summary'!$A$4:$A$11</c:f>
              <c:multiLvlStrCache>
                <c:ptCount val="5"/>
                <c:lvl>
                  <c:pt idx="0">
                    <c:v>Report writing</c:v>
                  </c:pt>
                  <c:pt idx="1">
                    <c:v>SQL Query</c:v>
                  </c:pt>
                  <c:pt idx="2">
                    <c:v>Bug Fix</c:v>
                  </c:pt>
                  <c:pt idx="3">
                    <c:v>Code Generation</c:v>
                  </c:pt>
                  <c:pt idx="4">
                    <c:v>Code Review</c:v>
                  </c:pt>
                </c:lvl>
                <c:lvl>
                  <c:pt idx="0">
                    <c:v>Analyst</c:v>
                  </c:pt>
                  <c:pt idx="2">
                    <c:v>Developer</c:v>
                  </c:pt>
                </c:lvl>
              </c:multiLvlStrCache>
            </c:multiLvlStrRef>
          </c:cat>
          <c:val>
            <c:numRef>
              <c:f>'ROI Summary'!$B$4:$B$11</c:f>
              <c:numCache>
                <c:formatCode>0%</c:formatCode>
                <c:ptCount val="5"/>
                <c:pt idx="0">
                  <c:v>0.43</c:v>
                </c:pt>
                <c:pt idx="1">
                  <c:v>0</c:v>
                </c:pt>
                <c:pt idx="2">
                  <c:v>0.6</c:v>
                </c:pt>
                <c:pt idx="3">
                  <c:v>0.64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9-441B-A982-ABFC6DC17A26}"/>
            </c:ext>
          </c:extLst>
        </c:ser>
        <c:ser>
          <c:idx val="1"/>
          <c:order val="1"/>
          <c:tx>
            <c:strRef>
              <c:f>'ROI Summary'!$C$3</c:f>
              <c:strCache>
                <c:ptCount val="1"/>
                <c:pt idx="0">
                  <c:v>Average of Quality_Delta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'ROI Summary'!$A$4:$A$11</c:f>
              <c:multiLvlStrCache>
                <c:ptCount val="5"/>
                <c:lvl>
                  <c:pt idx="0">
                    <c:v>Report writing</c:v>
                  </c:pt>
                  <c:pt idx="1">
                    <c:v>SQL Query</c:v>
                  </c:pt>
                  <c:pt idx="2">
                    <c:v>Bug Fix</c:v>
                  </c:pt>
                  <c:pt idx="3">
                    <c:v>Code Generation</c:v>
                  </c:pt>
                  <c:pt idx="4">
                    <c:v>Code Review</c:v>
                  </c:pt>
                </c:lvl>
                <c:lvl>
                  <c:pt idx="0">
                    <c:v>Analyst</c:v>
                  </c:pt>
                  <c:pt idx="2">
                    <c:v>Developer</c:v>
                  </c:pt>
                </c:lvl>
              </c:multiLvlStrCache>
            </c:multiLvlStrRef>
          </c:cat>
          <c:val>
            <c:numRef>
              <c:f>'ROI Summary'!$C$4:$C$11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B9-441B-A982-ABFC6DC17A26}"/>
            </c:ext>
          </c:extLst>
        </c:ser>
        <c:ser>
          <c:idx val="2"/>
          <c:order val="2"/>
          <c:tx>
            <c:strRef>
              <c:f>'ROI Summary'!$D$3</c:f>
              <c:strCache>
                <c:ptCount val="1"/>
                <c:pt idx="0">
                  <c:v>Count of AIROI_Flag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'ROI Summary'!$A$4:$A$11</c:f>
              <c:multiLvlStrCache>
                <c:ptCount val="5"/>
                <c:lvl>
                  <c:pt idx="0">
                    <c:v>Report writing</c:v>
                  </c:pt>
                  <c:pt idx="1">
                    <c:v>SQL Query</c:v>
                  </c:pt>
                  <c:pt idx="2">
                    <c:v>Bug Fix</c:v>
                  </c:pt>
                  <c:pt idx="3">
                    <c:v>Code Generation</c:v>
                  </c:pt>
                  <c:pt idx="4">
                    <c:v>Code Review</c:v>
                  </c:pt>
                </c:lvl>
                <c:lvl>
                  <c:pt idx="0">
                    <c:v>Analyst</c:v>
                  </c:pt>
                  <c:pt idx="2">
                    <c:v>Developer</c:v>
                  </c:pt>
                </c:lvl>
              </c:multiLvlStrCache>
            </c:multiLvlStrRef>
          </c:cat>
          <c:val>
            <c:numRef>
              <c:f>'ROI Summary'!$D$4:$D$11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B9-441B-A982-ABFC6DC17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99743"/>
        <c:axId val="43705983"/>
      </c:barChart>
      <c:catAx>
        <c:axId val="4369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05983"/>
        <c:crosses val="autoZero"/>
        <c:auto val="1"/>
        <c:lblAlgn val="ctr"/>
        <c:lblOffset val="100"/>
        <c:noMultiLvlLbl val="0"/>
      </c:catAx>
      <c:valAx>
        <c:axId val="4370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6</xdr:row>
      <xdr:rowOff>3810</xdr:rowOff>
    </xdr:from>
    <xdr:to>
      <xdr:col>11</xdr:col>
      <xdr:colOff>548640</xdr:colOff>
      <xdr:row>21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C2D049-536D-BE9D-3230-1E034062F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377190</xdr:colOff>
      <xdr:row>6</xdr:row>
      <xdr:rowOff>34290</xdr:rowOff>
    </xdr:from>
    <xdr:to>
      <xdr:col>11</xdr:col>
      <xdr:colOff>72390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A5BB84-45B3-EF89-6BC6-005163D05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720090</xdr:colOff>
      <xdr:row>11</xdr:row>
      <xdr:rowOff>80010</xdr:rowOff>
    </xdr:from>
    <xdr:to>
      <xdr:col>4</xdr:col>
      <xdr:colOff>163830</xdr:colOff>
      <xdr:row>26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F16F19-70D5-8FD6-C10B-7D94C53AE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th Naidu" refreshedDate="46178.634646412036" createdVersion="8" refreshedVersion="8" minRefreshableVersion="3" recordCount="5" xr:uid="{27EB043B-37EA-44ED-BFAE-D05057830CF0}">
  <cacheSource type="worksheet">
    <worksheetSource ref="A1:G6" sheet="KPIs"/>
  </cacheSource>
  <cacheFields count="7">
    <cacheField name="Task_ID" numFmtId="0">
      <sharedItems/>
    </cacheField>
    <cacheField name="Role" numFmtId="0">
      <sharedItems count="2">
        <s v="Developer"/>
        <s v="Analyst"/>
      </sharedItems>
    </cacheField>
    <cacheField name="Task_Type" numFmtId="0">
      <sharedItems count="5">
        <s v="Bug Fix"/>
        <s v="SQL Query"/>
        <s v="Code Generation"/>
        <s v="Report writing"/>
        <s v="Code Review"/>
      </sharedItems>
    </cacheField>
    <cacheField name="Time_Saved_Pct" numFmtId="9">
      <sharedItems containsSemiMixedTypes="0" containsString="0" containsNumber="1" minValue="0" maxValue="0.64"/>
    </cacheField>
    <cacheField name="Quality_Delta" numFmtId="0">
      <sharedItems containsSemiMixedTypes="0" containsString="0" containsNumber="1" containsInteger="1" minValue="-1" maxValue="2"/>
    </cacheField>
    <cacheField name="Prompt_Score" numFmtId="0">
      <sharedItems containsSemiMixedTypes="0" containsString="0" containsNumber="1" containsInteger="1" minValue="2" maxValue="5"/>
    </cacheField>
    <cacheField name="AIROI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T001"/>
    <x v="0"/>
    <x v="0"/>
    <n v="0.6"/>
    <n v="1"/>
    <n v="4"/>
    <s v="Yes"/>
  </r>
  <r>
    <s v="T002"/>
    <x v="1"/>
    <x v="1"/>
    <n v="0"/>
    <n v="0"/>
    <n v="3"/>
    <s v="No"/>
  </r>
  <r>
    <s v="T003"/>
    <x v="0"/>
    <x v="2"/>
    <n v="0.64"/>
    <n v="2"/>
    <n v="5"/>
    <s v="Yes"/>
  </r>
  <r>
    <s v="T004"/>
    <x v="1"/>
    <x v="3"/>
    <n v="0.43"/>
    <n v="1"/>
    <n v="4"/>
    <s v="Yes"/>
  </r>
  <r>
    <s v="T005"/>
    <x v="0"/>
    <x v="4"/>
    <n v="0"/>
    <n v="-1"/>
    <n v="2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B7988-81FF-448E-AB76-FB08D8993E0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7" firstHeaderRow="0" firstDataRow="1" firstDataCol="1" rowPageCount="1" colPageCount="1"/>
  <pivotFields count="7">
    <pivotField showAll="0"/>
    <pivotField axis="axisPage" showAll="0">
      <items count="3">
        <item x="1"/>
        <item x="0"/>
        <item t="default"/>
      </items>
    </pivotField>
    <pivotField axis="axisRow" showAll="0">
      <items count="6">
        <item x="0"/>
        <item x="2"/>
        <item x="4"/>
        <item x="3"/>
        <item x="1"/>
        <item t="default"/>
      </items>
    </pivotField>
    <pivotField dataField="1" numFmtId="9" showAll="0"/>
    <pivotField showAll="0"/>
    <pivotField dataField="1"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item="1" hier="-1"/>
  </pageFields>
  <dataFields count="3">
    <dataField name="Average of Time_Saved_Pct" fld="3" subtotal="average" baseField="2" baseItem="0" numFmtId="9"/>
    <dataField name="Average of Prompt_Score" fld="5" subtotal="average" baseField="2" baseItem="0" numFmtId="169"/>
    <dataField name="Count of AIROI_Flag" fld="6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3C5D0-3EC3-4F20-A127-AF2CC93699B4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6" firstHeaderRow="0" firstDataRow="1" firstDataCol="1" rowPageCount="1" colPageCount="1"/>
  <pivotFields count="7">
    <pivotField showAll="0"/>
    <pivotField axis="axisPage" showAll="0">
      <items count="3">
        <item x="1"/>
        <item x="0"/>
        <item t="default"/>
      </items>
    </pivotField>
    <pivotField axis="axisRow" showAll="0">
      <items count="6">
        <item x="0"/>
        <item x="2"/>
        <item x="4"/>
        <item x="3"/>
        <item x="1"/>
        <item t="default"/>
      </items>
    </pivotField>
    <pivotField dataField="1" numFmtId="9" showAll="0"/>
    <pivotField showAll="0"/>
    <pivotField dataField="1" showAll="0"/>
    <pivotField dataField="1" showAll="0"/>
  </pivotFields>
  <rowFields count="1">
    <field x="2"/>
  </rowFields>
  <rowItems count="3"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item="0" hier="-1"/>
  </pageFields>
  <dataFields count="3">
    <dataField name="Average of Time_Saved_Pct" fld="3" subtotal="average" baseField="2" baseItem="3" numFmtId="9"/>
    <dataField name="Average of Prompt_Score" fld="5" subtotal="average" baseField="2" baseItem="3"/>
    <dataField name="Count of AIROI_Flag" fld="6" subtotal="count" baseField="0" baseItem="0"/>
  </dataField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D0BDC-DF27-42BA-AFAE-70536D0EDA63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1" firstHeaderRow="0" firstDataRow="1" firstDataCol="1"/>
  <pivotFields count="7">
    <pivotField showAll="0"/>
    <pivotField axis="axisRow" showAll="0">
      <items count="3">
        <item x="1"/>
        <item x="0"/>
        <item t="default"/>
      </items>
    </pivotField>
    <pivotField axis="axisRow" showAll="0">
      <items count="6">
        <item x="0"/>
        <item x="2"/>
        <item x="4"/>
        <item x="3"/>
        <item x="1"/>
        <item t="default"/>
      </items>
    </pivotField>
    <pivotField dataField="1" numFmtId="9" showAll="0"/>
    <pivotField dataField="1" showAll="0"/>
    <pivotField showAll="0"/>
    <pivotField dataField="1" showAll="0"/>
  </pivotFields>
  <rowFields count="2">
    <field x="1"/>
    <field x="2"/>
  </rowFields>
  <rowItems count="8">
    <i>
      <x/>
    </i>
    <i r="1">
      <x v="3"/>
    </i>
    <i r="1">
      <x v="4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ime_Saved_Pct" fld="3" subtotal="average" baseField="0" baseItem="0" numFmtId="9"/>
    <dataField name="Average of Quality_Delta" fld="4" subtotal="average" baseField="0" baseItem="0"/>
    <dataField name="Count of AIROI_Flag" fld="6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0D3075-EF0E-4831-A707-B897F8935D7E}" name="Tasks" displayName="Tasks" ref="A1:G6" totalsRowShown="0" headerRowDxfId="0">
  <autoFilter ref="A1:G6" xr:uid="{870D3075-EF0E-4831-A707-B897F8935D7E}"/>
  <tableColumns count="7">
    <tableColumn id="1" xr3:uid="{D0AE6C87-916D-436D-8DA2-7C703A1ED5DD}" name="Task_ID"/>
    <tableColumn id="2" xr3:uid="{C865DD2E-0BFC-429F-A07D-184E4C84EDEF}" name="Date" dataDxfId="1"/>
    <tableColumn id="3" xr3:uid="{9B3BFB96-0D00-4147-865C-CBFF4C38F6B4}" name="Role"/>
    <tableColumn id="4" xr3:uid="{1EB26993-75D2-4A39-9E10-8DF125ABCE02}" name="Task_Type"/>
    <tableColumn id="5" xr3:uid="{BCA801F7-315B-4A84-B282-38276BBE358F}" name="Complexity"/>
    <tableColumn id="6" xr3:uid="{12BA9F2D-0D50-447E-9237-6E3E18BA622B}" name="Team"/>
    <tableColumn id="7" xr3:uid="{8D06A6AC-9FAB-458B-86E7-4926409CC3BD}" name="AI_U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8BE5-F8CA-4D8D-8C39-C809EF4C8979}">
  <dimension ref="A1:G6"/>
  <sheetViews>
    <sheetView workbookViewId="0">
      <selection activeCell="E18" sqref="E18"/>
    </sheetView>
  </sheetViews>
  <sheetFormatPr defaultRowHeight="14.4" x14ac:dyDescent="0.3"/>
  <cols>
    <col min="1" max="1" width="9.44140625" customWidth="1"/>
    <col min="2" max="2" width="10.33203125" bestFit="1" customWidth="1"/>
    <col min="4" max="4" width="14.88671875" bestFit="1" customWidth="1"/>
    <col min="5" max="5" width="12.33203125" customWidth="1"/>
    <col min="7" max="7" width="9.88671875" customWidth="1"/>
  </cols>
  <sheetData>
    <row r="1" spans="1:7" x14ac:dyDescent="0.3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46174</v>
      </c>
      <c r="C2" t="s">
        <v>12</v>
      </c>
      <c r="D2" t="s">
        <v>14</v>
      </c>
      <c r="E2" t="s">
        <v>19</v>
      </c>
      <c r="F2" t="s">
        <v>22</v>
      </c>
      <c r="G2" t="s">
        <v>26</v>
      </c>
    </row>
    <row r="3" spans="1:7" x14ac:dyDescent="0.3">
      <c r="A3" t="s">
        <v>8</v>
      </c>
      <c r="B3" s="2">
        <v>46174</v>
      </c>
      <c r="C3" t="s">
        <v>13</v>
      </c>
      <c r="D3" t="s">
        <v>15</v>
      </c>
      <c r="E3" t="s">
        <v>20</v>
      </c>
      <c r="F3" t="s">
        <v>23</v>
      </c>
      <c r="G3" t="s">
        <v>27</v>
      </c>
    </row>
    <row r="4" spans="1:7" x14ac:dyDescent="0.3">
      <c r="A4" t="s">
        <v>9</v>
      </c>
      <c r="B4" s="2">
        <v>46175</v>
      </c>
      <c r="C4" t="s">
        <v>12</v>
      </c>
      <c r="D4" t="s">
        <v>16</v>
      </c>
      <c r="E4" t="s">
        <v>21</v>
      </c>
      <c r="F4" t="s">
        <v>24</v>
      </c>
      <c r="G4" t="s">
        <v>26</v>
      </c>
    </row>
    <row r="5" spans="1:7" x14ac:dyDescent="0.3">
      <c r="A5" t="s">
        <v>10</v>
      </c>
      <c r="B5" s="2">
        <v>46175</v>
      </c>
      <c r="C5" t="s">
        <v>13</v>
      </c>
      <c r="D5" t="s">
        <v>17</v>
      </c>
      <c r="E5" t="s">
        <v>19</v>
      </c>
      <c r="F5" t="s">
        <v>25</v>
      </c>
      <c r="G5" t="s">
        <v>26</v>
      </c>
    </row>
    <row r="6" spans="1:7" x14ac:dyDescent="0.3">
      <c r="A6" t="s">
        <v>11</v>
      </c>
      <c r="B6" s="2">
        <v>46176</v>
      </c>
      <c r="C6" t="s">
        <v>12</v>
      </c>
      <c r="D6" t="s">
        <v>18</v>
      </c>
      <c r="E6" t="s">
        <v>20</v>
      </c>
      <c r="F6" t="s">
        <v>22</v>
      </c>
      <c r="G6" t="s">
        <v>27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2CB3-4867-4C23-A917-31653500BD1C}">
  <dimension ref="A1:H6"/>
  <sheetViews>
    <sheetView topLeftCell="D1" workbookViewId="0">
      <selection activeCell="H1" sqref="H1"/>
    </sheetView>
  </sheetViews>
  <sheetFormatPr defaultRowHeight="14.4" x14ac:dyDescent="0.3"/>
  <cols>
    <col min="1" max="1" width="13.5546875" bestFit="1" customWidth="1"/>
    <col min="3" max="3" width="12.5546875" bestFit="1" customWidth="1"/>
    <col min="4" max="4" width="15.44140625" bestFit="1" customWidth="1"/>
    <col min="5" max="5" width="15.77734375" bestFit="1" customWidth="1"/>
    <col min="6" max="6" width="13.5546875" bestFit="1" customWidth="1"/>
    <col min="7" max="7" width="16.33203125" bestFit="1" customWidth="1"/>
    <col min="8" max="8" width="14.109375" bestFit="1" customWidth="1"/>
  </cols>
  <sheetData>
    <row r="1" spans="1:8" x14ac:dyDescent="0.3">
      <c r="A1" s="1" t="s">
        <v>28</v>
      </c>
      <c r="B1" s="1" t="s">
        <v>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 x14ac:dyDescent="0.3">
      <c r="A2" t="s">
        <v>35</v>
      </c>
      <c r="B2" t="s">
        <v>7</v>
      </c>
      <c r="C2">
        <v>18</v>
      </c>
      <c r="D2">
        <v>45</v>
      </c>
      <c r="E2">
        <f>D2-C2</f>
        <v>27</v>
      </c>
      <c r="F2">
        <v>1</v>
      </c>
      <c r="G2">
        <v>3</v>
      </c>
      <c r="H2">
        <v>2</v>
      </c>
    </row>
    <row r="3" spans="1:8" x14ac:dyDescent="0.3">
      <c r="A3" t="s">
        <v>36</v>
      </c>
      <c r="B3" t="s">
        <v>8</v>
      </c>
      <c r="C3">
        <v>40</v>
      </c>
      <c r="D3">
        <v>40</v>
      </c>
      <c r="E3">
        <f>D3-C3</f>
        <v>0</v>
      </c>
      <c r="F3">
        <v>2</v>
      </c>
      <c r="G3">
        <v>2</v>
      </c>
      <c r="H3">
        <v>1</v>
      </c>
    </row>
    <row r="4" spans="1:8" x14ac:dyDescent="0.3">
      <c r="A4" t="s">
        <v>37</v>
      </c>
      <c r="B4" t="s">
        <v>9</v>
      </c>
      <c r="C4">
        <v>25</v>
      </c>
      <c r="D4">
        <v>70</v>
      </c>
      <c r="E4">
        <f>D4-C4</f>
        <v>45</v>
      </c>
      <c r="F4">
        <v>0</v>
      </c>
      <c r="G4">
        <v>4</v>
      </c>
      <c r="H4">
        <v>3</v>
      </c>
    </row>
    <row r="5" spans="1:8" x14ac:dyDescent="0.3">
      <c r="A5" t="s">
        <v>38</v>
      </c>
      <c r="B5" t="s">
        <v>10</v>
      </c>
      <c r="C5">
        <v>20</v>
      </c>
      <c r="D5">
        <v>35</v>
      </c>
      <c r="E5">
        <f>D5-C5</f>
        <v>15</v>
      </c>
      <c r="F5">
        <v>1</v>
      </c>
      <c r="G5">
        <v>2</v>
      </c>
      <c r="H5">
        <v>2</v>
      </c>
    </row>
    <row r="6" spans="1:8" x14ac:dyDescent="0.3">
      <c r="A6" t="s">
        <v>39</v>
      </c>
      <c r="B6" t="s">
        <v>11</v>
      </c>
      <c r="C6">
        <v>38</v>
      </c>
      <c r="D6">
        <v>38</v>
      </c>
      <c r="E6">
        <f>D6-C6</f>
        <v>0</v>
      </c>
      <c r="F6">
        <v>2</v>
      </c>
      <c r="G6">
        <v>2</v>
      </c>
      <c r="H6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DBA0-CB43-4225-8F0F-90642ED53255}">
  <dimension ref="A1:F6"/>
  <sheetViews>
    <sheetView workbookViewId="0">
      <selection activeCell="B1" sqref="B1"/>
    </sheetView>
  </sheetViews>
  <sheetFormatPr defaultRowHeight="14.4" x14ac:dyDescent="0.3"/>
  <cols>
    <col min="1" max="1" width="9.77734375" bestFit="1" customWidth="1"/>
    <col min="3" max="3" width="15.109375" bestFit="1" customWidth="1"/>
    <col min="5" max="5" width="19.5546875" bestFit="1" customWidth="1"/>
    <col min="6" max="6" width="20.44140625" bestFit="1" customWidth="1"/>
  </cols>
  <sheetData>
    <row r="1" spans="1:6" x14ac:dyDescent="0.3">
      <c r="A1" s="1" t="s">
        <v>40</v>
      </c>
      <c r="B1" s="1" t="s">
        <v>3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">
      <c r="A2" t="s">
        <v>45</v>
      </c>
      <c r="B2" t="s">
        <v>7</v>
      </c>
      <c r="C2" t="s">
        <v>50</v>
      </c>
      <c r="D2" t="s">
        <v>54</v>
      </c>
      <c r="E2">
        <v>4</v>
      </c>
      <c r="F2" t="s">
        <v>58</v>
      </c>
    </row>
    <row r="3" spans="1:6" x14ac:dyDescent="0.3">
      <c r="A3" t="s">
        <v>46</v>
      </c>
      <c r="B3" t="s">
        <v>8</v>
      </c>
      <c r="C3" t="s">
        <v>51</v>
      </c>
      <c r="D3" t="s">
        <v>55</v>
      </c>
      <c r="E3">
        <v>3</v>
      </c>
      <c r="F3" t="s">
        <v>59</v>
      </c>
    </row>
    <row r="4" spans="1:6" x14ac:dyDescent="0.3">
      <c r="A4" t="s">
        <v>47</v>
      </c>
      <c r="B4" t="s">
        <v>9</v>
      </c>
      <c r="C4" t="s">
        <v>52</v>
      </c>
      <c r="D4" t="s">
        <v>54</v>
      </c>
      <c r="E4">
        <v>5</v>
      </c>
      <c r="F4" t="s">
        <v>60</v>
      </c>
    </row>
    <row r="5" spans="1:6" x14ac:dyDescent="0.3">
      <c r="A5" t="s">
        <v>48</v>
      </c>
      <c r="B5" t="s">
        <v>10</v>
      </c>
      <c r="C5" t="s">
        <v>53</v>
      </c>
      <c r="D5" t="s">
        <v>56</v>
      </c>
      <c r="E5">
        <v>4</v>
      </c>
      <c r="F5" t="s">
        <v>61</v>
      </c>
    </row>
    <row r="6" spans="1:6" x14ac:dyDescent="0.3">
      <c r="A6" t="s">
        <v>49</v>
      </c>
      <c r="B6" t="s">
        <v>11</v>
      </c>
      <c r="C6" t="s">
        <v>51</v>
      </c>
      <c r="D6" t="s">
        <v>57</v>
      </c>
      <c r="E6">
        <v>2</v>
      </c>
      <c r="F6" t="s">
        <v>62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45CC-45BF-418C-A344-D275AFCB55FC}">
  <dimension ref="A1:F6"/>
  <sheetViews>
    <sheetView workbookViewId="0">
      <selection activeCell="F7" sqref="F7"/>
    </sheetView>
  </sheetViews>
  <sheetFormatPr defaultRowHeight="14.4" x14ac:dyDescent="0.3"/>
  <cols>
    <col min="1" max="1" width="9.5546875" bestFit="1" customWidth="1"/>
    <col min="3" max="3" width="14" bestFit="1" customWidth="1"/>
    <col min="4" max="4" width="14.6640625" bestFit="1" customWidth="1"/>
    <col min="5" max="5" width="14.77734375" bestFit="1" customWidth="1"/>
    <col min="6" max="6" width="12.6640625" bestFit="1" customWidth="1"/>
  </cols>
  <sheetData>
    <row r="1" spans="1:6" x14ac:dyDescent="0.3">
      <c r="A1" s="1" t="s">
        <v>65</v>
      </c>
      <c r="B1" s="1" t="s">
        <v>3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 x14ac:dyDescent="0.3">
      <c r="A2" t="s">
        <v>70</v>
      </c>
      <c r="B2" t="s">
        <v>7</v>
      </c>
      <c r="C2">
        <v>8</v>
      </c>
      <c r="D2" t="s">
        <v>27</v>
      </c>
      <c r="E2">
        <v>4</v>
      </c>
      <c r="F2" t="s">
        <v>75</v>
      </c>
    </row>
    <row r="3" spans="1:6" x14ac:dyDescent="0.3">
      <c r="A3" t="s">
        <v>71</v>
      </c>
      <c r="B3" t="s">
        <v>8</v>
      </c>
      <c r="C3">
        <v>7</v>
      </c>
      <c r="D3" t="s">
        <v>27</v>
      </c>
      <c r="E3">
        <v>3</v>
      </c>
      <c r="F3" t="s">
        <v>76</v>
      </c>
    </row>
    <row r="4" spans="1:6" x14ac:dyDescent="0.3">
      <c r="A4" t="s">
        <v>72</v>
      </c>
      <c r="B4" t="s">
        <v>9</v>
      </c>
      <c r="C4">
        <v>9</v>
      </c>
      <c r="D4" t="s">
        <v>27</v>
      </c>
      <c r="E4">
        <v>5</v>
      </c>
      <c r="F4" t="s">
        <v>75</v>
      </c>
    </row>
    <row r="5" spans="1:6" x14ac:dyDescent="0.3">
      <c r="A5" t="s">
        <v>73</v>
      </c>
      <c r="B5" t="s">
        <v>10</v>
      </c>
      <c r="C5">
        <v>8</v>
      </c>
      <c r="D5" t="s">
        <v>26</v>
      </c>
      <c r="E5">
        <v>4</v>
      </c>
      <c r="F5" t="s">
        <v>76</v>
      </c>
    </row>
    <row r="6" spans="1:6" x14ac:dyDescent="0.3">
      <c r="A6" t="s">
        <v>74</v>
      </c>
      <c r="B6" t="s">
        <v>11</v>
      </c>
      <c r="C6">
        <v>6</v>
      </c>
      <c r="D6" t="s">
        <v>26</v>
      </c>
      <c r="E6">
        <v>3</v>
      </c>
      <c r="F6" t="s">
        <v>76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0FA20-36C8-48EC-878F-ED2D6036A36E}">
  <dimension ref="A1:I7"/>
  <sheetViews>
    <sheetView workbookViewId="0">
      <selection activeCell="G15" sqref="G15"/>
    </sheetView>
  </sheetViews>
  <sheetFormatPr defaultRowHeight="14.4" x14ac:dyDescent="0.3"/>
  <cols>
    <col min="3" max="3" width="14.88671875" bestFit="1" customWidth="1"/>
    <col min="5" max="5" width="10.109375" bestFit="1" customWidth="1"/>
    <col min="7" max="7" width="15.109375" bestFit="1" customWidth="1"/>
  </cols>
  <sheetData>
    <row r="1" spans="1:9" x14ac:dyDescent="0.3">
      <c r="A1" t="s">
        <v>1</v>
      </c>
      <c r="C1" t="s">
        <v>2</v>
      </c>
      <c r="E1" t="s">
        <v>4</v>
      </c>
      <c r="G1" t="s">
        <v>41</v>
      </c>
      <c r="I1" t="s">
        <v>42</v>
      </c>
    </row>
    <row r="2" spans="1:9" x14ac:dyDescent="0.3">
      <c r="A2" t="s">
        <v>12</v>
      </c>
      <c r="C2" t="s">
        <v>14</v>
      </c>
      <c r="E2" t="s">
        <v>20</v>
      </c>
      <c r="G2" t="s">
        <v>51</v>
      </c>
      <c r="I2" t="s">
        <v>54</v>
      </c>
    </row>
    <row r="3" spans="1:9" x14ac:dyDescent="0.3">
      <c r="A3" t="s">
        <v>13</v>
      </c>
      <c r="C3" t="s">
        <v>16</v>
      </c>
      <c r="E3" t="s">
        <v>19</v>
      </c>
      <c r="G3" t="s">
        <v>53</v>
      </c>
      <c r="I3" t="s">
        <v>55</v>
      </c>
    </row>
    <row r="4" spans="1:9" x14ac:dyDescent="0.3">
      <c r="C4" t="s">
        <v>18</v>
      </c>
      <c r="E4" t="s">
        <v>21</v>
      </c>
      <c r="G4" t="s">
        <v>50</v>
      </c>
      <c r="I4" t="s">
        <v>56</v>
      </c>
    </row>
    <row r="5" spans="1:9" x14ac:dyDescent="0.3">
      <c r="C5" t="s">
        <v>63</v>
      </c>
      <c r="G5" t="s">
        <v>52</v>
      </c>
      <c r="I5" t="s">
        <v>57</v>
      </c>
    </row>
    <row r="6" spans="1:9" x14ac:dyDescent="0.3">
      <c r="C6" t="s">
        <v>15</v>
      </c>
    </row>
    <row r="7" spans="1:9" x14ac:dyDescent="0.3">
      <c r="C7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F679-CBD3-4B96-926A-F9ECC38ECCBC}">
  <dimension ref="A1:D35"/>
  <sheetViews>
    <sheetView zoomScale="47" workbookViewId="0">
      <selection activeCell="A35" sqref="A35"/>
    </sheetView>
  </sheetViews>
  <sheetFormatPr defaultRowHeight="14.4" x14ac:dyDescent="0.3"/>
  <cols>
    <col min="1" max="1" width="44.77734375" bestFit="1" customWidth="1"/>
    <col min="2" max="2" width="37.44140625" bestFit="1" customWidth="1"/>
    <col min="3" max="3" width="34.44140625" bestFit="1" customWidth="1"/>
    <col min="4" max="4" width="27.77734375" bestFit="1" customWidth="1"/>
  </cols>
  <sheetData>
    <row r="1" spans="1:4" x14ac:dyDescent="0.3">
      <c r="A1" s="5" t="s">
        <v>1</v>
      </c>
      <c r="B1" t="s">
        <v>12</v>
      </c>
    </row>
    <row r="2" spans="1:4" x14ac:dyDescent="0.3">
      <c r="A2" t="s">
        <v>86</v>
      </c>
    </row>
    <row r="3" spans="1:4" x14ac:dyDescent="0.3">
      <c r="A3" s="5" t="s">
        <v>81</v>
      </c>
      <c r="B3" t="s">
        <v>84</v>
      </c>
      <c r="C3" t="s">
        <v>85</v>
      </c>
      <c r="D3" t="s">
        <v>83</v>
      </c>
    </row>
    <row r="4" spans="1:4" x14ac:dyDescent="0.3">
      <c r="A4" s="6" t="s">
        <v>14</v>
      </c>
      <c r="B4" s="4">
        <v>0.6</v>
      </c>
      <c r="C4" s="8">
        <v>4</v>
      </c>
      <c r="D4" s="7">
        <v>1</v>
      </c>
    </row>
    <row r="5" spans="1:4" x14ac:dyDescent="0.3">
      <c r="A5" s="6" t="s">
        <v>16</v>
      </c>
      <c r="B5" s="4">
        <v>0.64</v>
      </c>
      <c r="C5" s="8">
        <v>5</v>
      </c>
      <c r="D5" s="7">
        <v>1</v>
      </c>
    </row>
    <row r="6" spans="1:4" x14ac:dyDescent="0.3">
      <c r="A6" s="6" t="s">
        <v>18</v>
      </c>
      <c r="B6" s="4">
        <v>0</v>
      </c>
      <c r="C6" s="8">
        <v>2</v>
      </c>
      <c r="D6" s="7">
        <v>1</v>
      </c>
    </row>
    <row r="7" spans="1:4" x14ac:dyDescent="0.3">
      <c r="A7" s="6" t="s">
        <v>82</v>
      </c>
      <c r="B7" s="4">
        <v>0.41333333333333333</v>
      </c>
      <c r="C7" s="8">
        <v>3.6666666666666665</v>
      </c>
      <c r="D7" s="7">
        <v>3</v>
      </c>
    </row>
    <row r="35" spans="1:1" x14ac:dyDescent="0.3">
      <c r="A35" t="s">
        <v>88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B5758-1F45-4EFA-813A-D2D6991E43CC}">
  <dimension ref="A1:D6"/>
  <sheetViews>
    <sheetView topLeftCell="D1" zoomScale="52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4.77734375" bestFit="1" customWidth="1"/>
    <col min="3" max="3" width="22.88671875" bestFit="1" customWidth="1"/>
    <col min="4" max="4" width="18.109375" bestFit="1" customWidth="1"/>
  </cols>
  <sheetData>
    <row r="1" spans="1:4" x14ac:dyDescent="0.3">
      <c r="A1" s="5" t="s">
        <v>1</v>
      </c>
      <c r="B1" t="s">
        <v>13</v>
      </c>
    </row>
    <row r="2" spans="1:4" x14ac:dyDescent="0.3">
      <c r="A2" t="s">
        <v>87</v>
      </c>
    </row>
    <row r="3" spans="1:4" x14ac:dyDescent="0.3">
      <c r="A3" s="5" t="s">
        <v>81</v>
      </c>
      <c r="B3" t="s">
        <v>84</v>
      </c>
      <c r="C3" t="s">
        <v>85</v>
      </c>
      <c r="D3" t="s">
        <v>83</v>
      </c>
    </row>
    <row r="4" spans="1:4" x14ac:dyDescent="0.3">
      <c r="A4" s="6" t="s">
        <v>17</v>
      </c>
      <c r="B4" s="4">
        <v>0.43</v>
      </c>
      <c r="C4" s="7">
        <v>4</v>
      </c>
      <c r="D4" s="7">
        <v>1</v>
      </c>
    </row>
    <row r="5" spans="1:4" x14ac:dyDescent="0.3">
      <c r="A5" s="6" t="s">
        <v>15</v>
      </c>
      <c r="B5" s="4">
        <v>0</v>
      </c>
      <c r="C5" s="7">
        <v>3</v>
      </c>
      <c r="D5" s="7">
        <v>1</v>
      </c>
    </row>
    <row r="6" spans="1:4" x14ac:dyDescent="0.3">
      <c r="A6" s="6" t="s">
        <v>82</v>
      </c>
      <c r="B6" s="4">
        <v>0.215</v>
      </c>
      <c r="C6" s="7">
        <v>3.5</v>
      </c>
      <c r="D6" s="7">
        <v>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7C4A-B27F-4655-A797-E40C59D47534}">
  <dimension ref="A2:D32"/>
  <sheetViews>
    <sheetView tabSelected="1" zoomScale="77" workbookViewId="0">
      <selection activeCell="F13" sqref="F13"/>
    </sheetView>
  </sheetViews>
  <sheetFormatPr defaultRowHeight="14.4" x14ac:dyDescent="0.3"/>
  <cols>
    <col min="1" max="1" width="23.44140625" customWidth="1"/>
    <col min="2" max="2" width="24.77734375" bestFit="1" customWidth="1"/>
    <col min="3" max="3" width="22.21875" bestFit="1" customWidth="1"/>
    <col min="4" max="4" width="18.109375" bestFit="1" customWidth="1"/>
  </cols>
  <sheetData>
    <row r="2" spans="1:4" ht="18" x14ac:dyDescent="0.35">
      <c r="A2" s="10" t="s">
        <v>90</v>
      </c>
      <c r="B2" s="11"/>
      <c r="C2" s="11"/>
      <c r="D2" s="11"/>
    </row>
    <row r="3" spans="1:4" x14ac:dyDescent="0.3">
      <c r="A3" s="5" t="s">
        <v>81</v>
      </c>
      <c r="B3" t="s">
        <v>84</v>
      </c>
      <c r="C3" t="s">
        <v>89</v>
      </c>
      <c r="D3" t="s">
        <v>83</v>
      </c>
    </row>
    <row r="4" spans="1:4" x14ac:dyDescent="0.3">
      <c r="A4" s="6" t="s">
        <v>13</v>
      </c>
      <c r="B4" s="4">
        <v>0.215</v>
      </c>
      <c r="C4" s="7">
        <v>0.5</v>
      </c>
      <c r="D4" s="7">
        <v>2</v>
      </c>
    </row>
    <row r="5" spans="1:4" x14ac:dyDescent="0.3">
      <c r="A5" s="9" t="s">
        <v>17</v>
      </c>
      <c r="B5" s="4">
        <v>0.43</v>
      </c>
      <c r="C5" s="7">
        <v>1</v>
      </c>
      <c r="D5" s="7">
        <v>1</v>
      </c>
    </row>
    <row r="6" spans="1:4" x14ac:dyDescent="0.3">
      <c r="A6" s="9" t="s">
        <v>15</v>
      </c>
      <c r="B6" s="4">
        <v>0</v>
      </c>
      <c r="C6" s="7">
        <v>0</v>
      </c>
      <c r="D6" s="7">
        <v>1</v>
      </c>
    </row>
    <row r="7" spans="1:4" x14ac:dyDescent="0.3">
      <c r="A7" s="6" t="s">
        <v>12</v>
      </c>
      <c r="B7" s="4">
        <v>0.41333333333333333</v>
      </c>
      <c r="C7" s="7">
        <v>0.66666666666666663</v>
      </c>
      <c r="D7" s="7">
        <v>3</v>
      </c>
    </row>
    <row r="8" spans="1:4" x14ac:dyDescent="0.3">
      <c r="A8" s="9" t="s">
        <v>14</v>
      </c>
      <c r="B8" s="4">
        <v>0.6</v>
      </c>
      <c r="C8" s="7">
        <v>1</v>
      </c>
      <c r="D8" s="7">
        <v>1</v>
      </c>
    </row>
    <row r="9" spans="1:4" x14ac:dyDescent="0.3">
      <c r="A9" s="9" t="s">
        <v>16</v>
      </c>
      <c r="B9" s="4">
        <v>0.64</v>
      </c>
      <c r="C9" s="7">
        <v>2</v>
      </c>
      <c r="D9" s="7">
        <v>1</v>
      </c>
    </row>
    <row r="10" spans="1:4" x14ac:dyDescent="0.3">
      <c r="A10" s="9" t="s">
        <v>18</v>
      </c>
      <c r="B10" s="4">
        <v>0</v>
      </c>
      <c r="C10" s="7">
        <v>-1</v>
      </c>
      <c r="D10" s="7">
        <v>1</v>
      </c>
    </row>
    <row r="11" spans="1:4" x14ac:dyDescent="0.3">
      <c r="A11" s="6" t="s">
        <v>82</v>
      </c>
      <c r="B11" s="4">
        <v>0.33399999999999996</v>
      </c>
      <c r="C11" s="7">
        <v>0.6</v>
      </c>
      <c r="D11" s="7">
        <v>5</v>
      </c>
    </row>
    <row r="29" spans="1:2" x14ac:dyDescent="0.3">
      <c r="A29" s="12" t="s">
        <v>93</v>
      </c>
      <c r="B29" s="13">
        <v>5</v>
      </c>
    </row>
    <row r="30" spans="1:2" x14ac:dyDescent="0.3">
      <c r="A30" s="12" t="s">
        <v>94</v>
      </c>
      <c r="B30" s="13" t="s">
        <v>91</v>
      </c>
    </row>
    <row r="31" spans="1:2" x14ac:dyDescent="0.3">
      <c r="A31" s="12" t="s">
        <v>95</v>
      </c>
      <c r="B31" s="13" t="s">
        <v>92</v>
      </c>
    </row>
    <row r="32" spans="1:2" x14ac:dyDescent="0.3">
      <c r="A32" s="12" t="s">
        <v>96</v>
      </c>
      <c r="B32" s="14">
        <v>0.33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97795-F616-4F24-8AE1-1704715F4F6E}">
  <dimension ref="A1:G6"/>
  <sheetViews>
    <sheetView workbookViewId="0">
      <selection activeCell="A2" sqref="A2"/>
    </sheetView>
  </sheetViews>
  <sheetFormatPr defaultRowHeight="14.4" x14ac:dyDescent="0.3"/>
  <cols>
    <col min="3" max="3" width="14.88671875" bestFit="1" customWidth="1"/>
    <col min="4" max="4" width="15" bestFit="1" customWidth="1"/>
    <col min="5" max="5" width="12.33203125" bestFit="1" customWidth="1"/>
    <col min="6" max="6" width="13.109375" bestFit="1" customWidth="1"/>
    <col min="7" max="7" width="10.109375" bestFit="1" customWidth="1"/>
  </cols>
  <sheetData>
    <row r="1" spans="1:7" x14ac:dyDescent="0.3">
      <c r="A1" s="1" t="s">
        <v>3</v>
      </c>
      <c r="B1" s="1" t="s">
        <v>1</v>
      </c>
      <c r="C1" s="1" t="s">
        <v>2</v>
      </c>
      <c r="D1" s="1" t="s">
        <v>77</v>
      </c>
      <c r="E1" s="1" t="s">
        <v>78</v>
      </c>
      <c r="F1" s="1" t="s">
        <v>80</v>
      </c>
      <c r="G1" s="1" t="s">
        <v>79</v>
      </c>
    </row>
    <row r="2" spans="1:7" x14ac:dyDescent="0.3">
      <c r="A2" s="3" t="s">
        <v>7</v>
      </c>
      <c r="B2" t="str">
        <f>VLOOKUP(A2,Tasks[],3,FALSE)</f>
        <v>Developer</v>
      </c>
      <c r="C2" t="str">
        <f>VLOOKUP(A2,Tasks[],4,FALSE)</f>
        <v>Bug Fix</v>
      </c>
      <c r="D2" s="4">
        <v>0.6</v>
      </c>
      <c r="E2">
        <v>1</v>
      </c>
      <c r="F2">
        <v>4</v>
      </c>
      <c r="G2" t="s">
        <v>26</v>
      </c>
    </row>
    <row r="3" spans="1:7" x14ac:dyDescent="0.3">
      <c r="A3" s="3" t="s">
        <v>8</v>
      </c>
      <c r="B3" t="str">
        <f>VLOOKUP(A3,Tasks[],3,FALSE)</f>
        <v>Analyst</v>
      </c>
      <c r="C3" t="str">
        <f>VLOOKUP(A3,Tasks[],4,FALSE)</f>
        <v>SQL Query</v>
      </c>
      <c r="D3" s="4">
        <v>0</v>
      </c>
      <c r="E3">
        <v>0</v>
      </c>
      <c r="F3">
        <v>3</v>
      </c>
      <c r="G3" t="s">
        <v>27</v>
      </c>
    </row>
    <row r="4" spans="1:7" x14ac:dyDescent="0.3">
      <c r="A4" s="3" t="s">
        <v>9</v>
      </c>
      <c r="B4" t="s">
        <v>12</v>
      </c>
      <c r="C4" t="str">
        <f>VLOOKUP(A4,Tasks[],4,FALSE)</f>
        <v>Code Generation</v>
      </c>
      <c r="D4" s="4">
        <v>0.64</v>
      </c>
      <c r="E4">
        <v>2</v>
      </c>
      <c r="F4">
        <v>5</v>
      </c>
      <c r="G4" t="s">
        <v>26</v>
      </c>
    </row>
    <row r="5" spans="1:7" x14ac:dyDescent="0.3">
      <c r="A5" s="3" t="s">
        <v>10</v>
      </c>
      <c r="B5" t="s">
        <v>13</v>
      </c>
      <c r="C5" t="str">
        <f>VLOOKUP(A5,Tasks[],4,FALSE)</f>
        <v>Report writing</v>
      </c>
      <c r="D5" s="4">
        <v>0.43</v>
      </c>
      <c r="E5">
        <v>1</v>
      </c>
      <c r="F5">
        <v>4</v>
      </c>
      <c r="G5" t="s">
        <v>26</v>
      </c>
    </row>
    <row r="6" spans="1:7" x14ac:dyDescent="0.3">
      <c r="A6" s="3" t="s">
        <v>11</v>
      </c>
      <c r="B6" t="s">
        <v>12</v>
      </c>
      <c r="C6" t="str">
        <f>VLOOKUP(A6,Tasks[],4,FALSE)</f>
        <v>Code Review</v>
      </c>
      <c r="D6" s="4">
        <v>0</v>
      </c>
      <c r="E6">
        <v>-1</v>
      </c>
      <c r="F6">
        <v>2</v>
      </c>
      <c r="G6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Tasks</vt:lpstr>
      <vt:lpstr>Productivity</vt:lpstr>
      <vt:lpstr>Prompts</vt:lpstr>
      <vt:lpstr>Quality</vt:lpstr>
      <vt:lpstr>Lookup</vt:lpstr>
      <vt:lpstr>Reports</vt:lpstr>
      <vt:lpstr>Analyst Report</vt:lpstr>
      <vt:lpstr>ROI Summary</vt:lpstr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sahtih kolar</dc:creator>
  <cp:lastModifiedBy>sahtih kolar</cp:lastModifiedBy>
  <dcterms:created xsi:type="dcterms:W3CDTF">2026-06-05T04:11:25Z</dcterms:created>
  <dcterms:modified xsi:type="dcterms:W3CDTF">2026-06-05T10:15:30Z</dcterms:modified>
</cp:coreProperties>
</file>